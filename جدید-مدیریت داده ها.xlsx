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ali kolahchi\Downloads\usb friends\"/>
    </mc:Choice>
  </mc:AlternateContent>
  <xr:revisionPtr revIDLastSave="0" documentId="13_ncr:1_{5C3E92EF-2CF8-4660-B65D-FABE2F6E7900}" xr6:coauthVersionLast="47" xr6:coauthVersionMax="47" xr10:uidLastSave="{00000000-0000-0000-0000-000000000000}"/>
  <bookViews>
    <workbookView xWindow="-108" yWindow="-108" windowWidth="23256" windowHeight="13176" activeTab="3" xr2:uid="{4C9C45B8-55F1-4E17-B2C0-99BBADE21D16}"/>
  </bookViews>
  <sheets>
    <sheet name="Sheet1" sheetId="1" r:id="rId1"/>
    <sheet name="قیمت تمام شده" sheetId="2" r:id="rId2"/>
    <sheet name="حق الزحمه" sheetId="3" r:id="rId3"/>
    <sheet name="فاکتور فرو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I5" i="4"/>
  <c r="I3" i="4"/>
  <c r="H3" i="4"/>
  <c r="D4" i="3"/>
  <c r="D7" i="3"/>
  <c r="D5" i="3"/>
  <c r="D6" i="3"/>
  <c r="E10" i="1"/>
  <c r="G3" i="2"/>
  <c r="G5" i="2"/>
  <c r="G6" i="2"/>
  <c r="G7" i="2"/>
  <c r="G9" i="2"/>
  <c r="G10" i="2"/>
  <c r="F4" i="2"/>
  <c r="G4" i="2" s="1"/>
  <c r="F3" i="2"/>
  <c r="F5" i="2"/>
  <c r="F6" i="2"/>
  <c r="F7" i="2"/>
  <c r="F8" i="2"/>
  <c r="G8" i="2" s="1"/>
  <c r="F9" i="2"/>
  <c r="F10" i="2"/>
  <c r="I13" i="4" l="1"/>
  <c r="I14" i="4" s="1"/>
  <c r="I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amirali kolahchi</author>
  </authors>
  <commentList>
    <comment ref="E3" authorId="0" shapeId="0" xr:uid="{322269F5-6D59-4F7E-AA76-CA3DDE17DBB4}">
      <text>
        <r>
          <rPr>
            <b/>
            <sz val="9"/>
            <color indexed="81"/>
            <rFont val="Tahoma"/>
            <family val="2"/>
          </rPr>
          <t>amirali kolahchi:</t>
        </r>
        <r>
          <rPr>
            <sz val="9"/>
            <color indexed="81"/>
            <rFont val="Tahoma"/>
            <family val="2"/>
          </rPr>
          <t xml:space="preserve">
کتاب گفته بود که می‌توانید از مقدار های کاربرگ دیگر هم استفاده کنید و من نمیدونم که اجباری هست یا نه واسه همین در کالای اول بجای مقدار کتاب ازمقدار همین کالا در شیت یک استفاده کردم که اگر چیزی هست هم اوکی باشه.</t>
        </r>
      </text>
    </comment>
  </commentList>
</comments>
</file>

<file path=xl/sharedStrings.xml><?xml version="1.0" encoding="utf-8"?>
<sst xmlns="http://schemas.openxmlformats.org/spreadsheetml/2006/main" count="80" uniqueCount="57">
  <si>
    <t>ردیف</t>
  </si>
  <si>
    <t>نام محصول</t>
  </si>
  <si>
    <t>شلف دیواری مدل L</t>
  </si>
  <si>
    <t>شلف دیواری مدل WT</t>
  </si>
  <si>
    <t>طبقه دیواری مجموعه سه عددی مدل ۲۰z</t>
  </si>
  <si>
    <t>روپوش کارگاهی زنانه مدل گینی</t>
  </si>
  <si>
    <t>روپوش کارگاهی زنانه مدل زرین</t>
  </si>
  <si>
    <t>روپوش کارگاهی مردانه مدل ۰۰۱</t>
  </si>
  <si>
    <t>روپوش کارگاهی مردانه مدل ۰۰۲</t>
  </si>
  <si>
    <t>ست روپوش و شلوار زنانه مدل یاس</t>
  </si>
  <si>
    <t>کد محصول</t>
  </si>
  <si>
    <t>هنرآموز ناظر</t>
  </si>
  <si>
    <t>صابری</t>
  </si>
  <si>
    <t>هاشمی</t>
  </si>
  <si>
    <t>هاشم پور</t>
  </si>
  <si>
    <t>قیمت پیش‌بینی شده</t>
  </si>
  <si>
    <t>رشته ارائه‌دهنده محصول</t>
  </si>
  <si>
    <t>معماری داخلی</t>
  </si>
  <si>
    <t>طراحی‌دوخت</t>
  </si>
  <si>
    <t>۰۰۱</t>
  </si>
  <si>
    <t>۰۰۲</t>
  </si>
  <si>
    <t>۰۰۳</t>
  </si>
  <si>
    <t>۰۰۴</t>
  </si>
  <si>
    <t>۰۰۵</t>
  </si>
  <si>
    <t>۰۰۶</t>
  </si>
  <si>
    <t>۰۰۷</t>
  </si>
  <si>
    <t>۰۰۸</t>
  </si>
  <si>
    <t xml:space="preserve"> </t>
  </si>
  <si>
    <t>رشته تولید‌کننده</t>
  </si>
  <si>
    <t>هزینه مواد اولیه</t>
  </si>
  <si>
    <t>هزینه دست‌مزد</t>
  </si>
  <si>
    <t>هزینه های سربار</t>
  </si>
  <si>
    <t>قیمت تمام‌شده</t>
  </si>
  <si>
    <t>قیمت نهایی</t>
  </si>
  <si>
    <t>میزان مالیات</t>
  </si>
  <si>
    <t>لیست حق‌الزحمه</t>
  </si>
  <si>
    <t>ساعات کارکرد</t>
  </si>
  <si>
    <t>حق الزحمه ساعتی</t>
  </si>
  <si>
    <t>حق الزحمه پرداختی</t>
  </si>
  <si>
    <t>پرنیا اکبری</t>
  </si>
  <si>
    <t>رومینا صالحی</t>
  </si>
  <si>
    <t>مبینا آریان پور</t>
  </si>
  <si>
    <t>تهمینه دماوندی</t>
  </si>
  <si>
    <t>نام و نام خانوادگی</t>
  </si>
  <si>
    <t>مبلغ قابل پرداخت</t>
  </si>
  <si>
    <t>درصد تخفیف</t>
  </si>
  <si>
    <t>جمع کل</t>
  </si>
  <si>
    <t>گل سر زرین چفتی</t>
  </si>
  <si>
    <t>ماگ فانتزی</t>
  </si>
  <si>
    <t>تاریخ</t>
  </si>
  <si>
    <t>شماره فاکتور</t>
  </si>
  <si>
    <t>قیمت کل</t>
  </si>
  <si>
    <t>قیمت واحد</t>
  </si>
  <si>
    <t>تعداد</t>
  </si>
  <si>
    <t>نام کالا</t>
  </si>
  <si>
    <t>نام مشتری</t>
  </si>
  <si>
    <t>فاکتور فروش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</si>
</sst>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#,##0_-&quot;ريال&quot;;#,##0\-&quot;ريال&quot;"/>
    <numFmt numFmtId="41" formatCode="_ * #,##0_-_ ;_ * #,##0\-_ ;_ * &quot;-&quot;_-_ ;_ @_ "/>
    <numFmt numFmtId="43" formatCode="_ * #,##0.00_-_ ;_ * #,##0.00\-_ ;_ * &quot;-&quot;??_-_ ;_ @_ "/>
    <numFmt numFmtId="164" formatCode="[$-3000401]0"/>
    <numFmt numFmtId="165" formatCode="_ * #,##0_-_ر_ي_ا_ل_ ;_ * #,##0\-_ر_ي_ا_ل_ ;_ * &quot;-&quot;_-_ر_ي_ا_ل_ ;_ @_ "/>
    <numFmt numFmtId="166" formatCode="#,##0_-&quot;ريال&quot;"/>
    <numFmt numFmtId="167" formatCode="000"/>
    <numFmt numFmtId="168" formatCode="#,##0.00_-&quot;ريال&quot;"/>
  </numFmts>
  <fonts count="13" x14ac:knownFonts="1">
    <font>
      <sz val="11"/>
      <color theme="1"/>
      <name val="Aptos Narrow"/>
      <family val="2"/>
      <charset val="178"/>
      <scheme val="minor"/>
    </font>
    <font>
      <sz val="11"/>
      <color theme="1"/>
      <name val="2  Baran"/>
      <charset val="178"/>
    </font>
    <font>
      <sz val="8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theme="1"/>
      <name val="B Nazanin"/>
      <charset val="178"/>
    </font>
    <font>
      <sz val="11"/>
      <color theme="0"/>
      <name val="B Nazanin"/>
      <charset val="178"/>
    </font>
    <font>
      <b/>
      <sz val="11"/>
      <color theme="1"/>
      <name val="B Nazanin"/>
      <charset val="178"/>
    </font>
    <font>
      <sz val="11"/>
      <color theme="1"/>
      <name val="_MRT_Khodkar"/>
      <charset val="178"/>
    </font>
    <font>
      <sz val="8"/>
      <color theme="1"/>
      <name val="Aptos Narrow"/>
      <family val="2"/>
      <charset val="178"/>
      <scheme val="minor"/>
    </font>
    <font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3" fillId="3" borderId="0" applyNumberFormat="0" applyBorder="0" applyAlignment="0" applyProtection="0"/>
  </cellStyleXfs>
  <cellXfs count="45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quotePrefix="1" applyNumberFormat="1"/>
    <xf numFmtId="165" fontId="0" fillId="0" borderId="0" xfId="1" applyNumberFormat="1" applyFont="1"/>
    <xf numFmtId="0" fontId="5" fillId="0" borderId="6" xfId="0" applyFont="1" applyBorder="1"/>
    <xf numFmtId="167" fontId="5" fillId="0" borderId="1" xfId="0" applyNumberFormat="1" applyFont="1" applyBorder="1"/>
    <xf numFmtId="5" fontId="5" fillId="0" borderId="1" xfId="0" applyNumberFormat="1" applyFont="1" applyBorder="1"/>
    <xf numFmtId="166" fontId="5" fillId="0" borderId="1" xfId="0" applyNumberFormat="1" applyFont="1" applyBorder="1"/>
    <xf numFmtId="5" fontId="5" fillId="0" borderId="7" xfId="0" applyNumberFormat="1" applyFont="1" applyBorder="1"/>
    <xf numFmtId="0" fontId="5" fillId="0" borderId="8" xfId="0" applyFont="1" applyBorder="1"/>
    <xf numFmtId="167" fontId="5" fillId="0" borderId="2" xfId="0" applyNumberFormat="1" applyFont="1" applyBorder="1"/>
    <xf numFmtId="5" fontId="5" fillId="0" borderId="2" xfId="0" applyNumberFormat="1" applyFont="1" applyBorder="1"/>
    <xf numFmtId="166" fontId="5" fillId="0" borderId="2" xfId="0" applyNumberFormat="1" applyFont="1" applyBorder="1"/>
    <xf numFmtId="5" fontId="5" fillId="0" borderId="9" xfId="0" applyNumberFormat="1" applyFont="1" applyBorder="1"/>
    <xf numFmtId="0" fontId="6" fillId="2" borderId="4" xfId="2" applyFont="1" applyBorder="1"/>
    <xf numFmtId="0" fontId="6" fillId="2" borderId="3" xfId="2" applyFont="1" applyBorder="1"/>
    <xf numFmtId="0" fontId="6" fillId="2" borderId="5" xfId="2" applyFont="1" applyBorder="1"/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8" fontId="5" fillId="6" borderId="1" xfId="0" applyNumberFormat="1" applyFont="1" applyFill="1" applyBorder="1" applyAlignment="1">
      <alignment horizontal="center" vertical="center"/>
    </xf>
    <xf numFmtId="0" fontId="7" fillId="3" borderId="2" xfId="3" applyFont="1" applyBorder="1"/>
    <xf numFmtId="9" fontId="7" fillId="3" borderId="2" xfId="3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9" fontId="8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1" fontId="5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 readingOrder="2"/>
    </xf>
    <xf numFmtId="165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</cellXfs>
  <cellStyles count="4">
    <cellStyle name="20% - Accent2" xfId="3" builtinId="34"/>
    <cellStyle name="Accent2" xfId="2" builtinId="33"/>
    <cellStyle name="Comma" xfId="1" builtinId="3"/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9" formatCode="#,##0_-&quot;ريال&quot;;#,##0\-&quot;ريال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9" formatCode="#,##0_-&quot;ريال&quot;;#,##0\-&quot;ريال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&quot;ريال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6" formatCode="#,##0_-&quot;ريال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9" formatCode="#,##0_-&quot;ريال&quot;;#,##0\-&quot;ريال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numFmt numFmtId="167" formatCode="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B Nazanin"/>
        <charset val="178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B Nazanin"/>
        <charset val="178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5AF03-376A-4F8D-B673-E90BF066CD04}" name="Table2" displayName="Table2" ref="A2:G10" totalsRowShown="0" headerRowDxfId="11" dataDxfId="9" headerRowBorderDxfId="10" tableBorderDxfId="8" totalsRowBorderDxfId="7" headerRowCellStyle="Accent2">
  <autoFilter ref="A2:G10" xr:uid="{2FF5AF03-376A-4F8D-B673-E90BF066CD04}"/>
  <tableColumns count="7">
    <tableColumn id="1" xr3:uid="{907DD25A-1830-4929-B3CB-20C9952604E3}" name="رشته تولید‌کننده" dataDxfId="6"/>
    <tableColumn id="2" xr3:uid="{093387E3-1FFD-4237-A922-1802A5F9A6CD}" name="کد محصول" dataDxfId="5"/>
    <tableColumn id="3" xr3:uid="{D12A0678-0CC7-43BA-BD66-34FAA91D3DB7}" name="هزینه مواد اولیه" dataDxfId="4"/>
    <tableColumn id="4" xr3:uid="{FC11C61D-43C8-403B-85B9-F8413AA18C5A}" name="هزینه دست‌مزد" dataDxfId="3"/>
    <tableColumn id="5" xr3:uid="{8D7302D0-C149-489E-836D-C5A0B0AF8FFA}" name="هزینه های سربار" dataDxfId="2"/>
    <tableColumn id="6" xr3:uid="{3A088BAA-D37A-4BBD-9850-F6BFB2848611}" name="قیمت تمام‌شده" dataDxfId="1">
      <calculatedColumnFormula>SUM(C3:E3)</calculatedColumnFormula>
    </tableColumn>
    <tableColumn id="7" xr3:uid="{607AE546-C045-43A5-B8EA-CBE5C5D248A7}" name="قیمت نهایی" dataDxfId="0">
      <calculatedColumnFormula xml:space="preserve"> F3+(F3*0.1)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6EA-FC9E-4223-B463-55CB681696FE}">
  <dimension ref="A1:XFB10"/>
  <sheetViews>
    <sheetView rightToLeft="1" zoomScale="205" zoomScaleNormal="100" workbookViewId="0">
      <selection activeCell="E3" sqref="E3"/>
    </sheetView>
  </sheetViews>
  <sheetFormatPr defaultRowHeight="13.8" x14ac:dyDescent="0.25"/>
  <cols>
    <col min="1" max="1" width="7.09765625" customWidth="1"/>
    <col min="2" max="2" width="27.69921875" customWidth="1"/>
    <col min="4" max="4" width="8.09765625" customWidth="1"/>
    <col min="5" max="5" width="16.3984375" customWidth="1"/>
    <col min="6" max="6" width="15.59765625" customWidth="1"/>
    <col min="16373" max="16373" width="8.8984375" customWidth="1"/>
    <col min="16374" max="16374" width="8.8984375" hidden="1" customWidth="1"/>
    <col min="16375" max="16375" width="5.69921875" hidden="1" customWidth="1"/>
    <col min="16376" max="16376" width="3.09765625" hidden="1" customWidth="1"/>
    <col min="16377" max="16377" width="8" hidden="1" customWidth="1"/>
    <col min="16378" max="16378" width="9.09765625" hidden="1" customWidth="1"/>
    <col min="16379" max="16379" width="9" hidden="1" customWidth="1"/>
    <col min="16380" max="16381" width="9.09765625" hidden="1" customWidth="1"/>
    <col min="16382" max="16382" width="9.765625E-2" hidden="1" customWidth="1"/>
    <col min="16383" max="16383" width="13.3984375" customWidth="1"/>
  </cols>
  <sheetData>
    <row r="1" spans="1:6" ht="21.6" x14ac:dyDescent="0.75">
      <c r="A1" s="1" t="s">
        <v>0</v>
      </c>
      <c r="B1" s="1" t="s">
        <v>1</v>
      </c>
      <c r="C1" s="1" t="s">
        <v>10</v>
      </c>
      <c r="D1" s="1" t="s">
        <v>11</v>
      </c>
      <c r="E1" s="1" t="s">
        <v>15</v>
      </c>
      <c r="F1" s="1" t="s">
        <v>16</v>
      </c>
    </row>
    <row r="2" spans="1:6" ht="21.6" x14ac:dyDescent="0.75">
      <c r="A2" s="2">
        <v>1</v>
      </c>
      <c r="B2" s="1" t="s">
        <v>2</v>
      </c>
      <c r="C2" s="3" t="s">
        <v>19</v>
      </c>
      <c r="D2" s="1" t="s">
        <v>12</v>
      </c>
      <c r="E2" s="4">
        <v>130000</v>
      </c>
      <c r="F2" s="1" t="s">
        <v>17</v>
      </c>
    </row>
    <row r="3" spans="1:6" ht="21.6" x14ac:dyDescent="0.75">
      <c r="A3" s="2">
        <v>2</v>
      </c>
      <c r="B3" s="1" t="s">
        <v>3</v>
      </c>
      <c r="C3" s="3" t="s">
        <v>20</v>
      </c>
      <c r="D3" s="1" t="s">
        <v>12</v>
      </c>
      <c r="E3" s="4">
        <v>150000</v>
      </c>
      <c r="F3" s="1" t="s">
        <v>17</v>
      </c>
    </row>
    <row r="4" spans="1:6" ht="21.6" x14ac:dyDescent="0.75">
      <c r="A4" s="2">
        <v>3</v>
      </c>
      <c r="B4" s="1" t="s">
        <v>4</v>
      </c>
      <c r="C4" s="3" t="s">
        <v>21</v>
      </c>
      <c r="D4" s="1" t="s">
        <v>12</v>
      </c>
      <c r="E4" s="4">
        <v>170000</v>
      </c>
      <c r="F4" s="1" t="s">
        <v>17</v>
      </c>
    </row>
    <row r="5" spans="1:6" ht="21.6" x14ac:dyDescent="0.75">
      <c r="A5" s="2">
        <v>4</v>
      </c>
      <c r="B5" s="1" t="s">
        <v>5</v>
      </c>
      <c r="C5" s="3" t="s">
        <v>22</v>
      </c>
      <c r="D5" s="1" t="s">
        <v>13</v>
      </c>
      <c r="E5" s="4">
        <v>350000</v>
      </c>
      <c r="F5" s="1" t="s">
        <v>18</v>
      </c>
    </row>
    <row r="6" spans="1:6" ht="21.6" x14ac:dyDescent="0.75">
      <c r="A6" s="2">
        <v>5</v>
      </c>
      <c r="B6" s="1" t="s">
        <v>6</v>
      </c>
      <c r="C6" s="3" t="s">
        <v>23</v>
      </c>
      <c r="D6" s="1" t="s">
        <v>13</v>
      </c>
      <c r="E6" s="4">
        <v>290000</v>
      </c>
      <c r="F6" s="1" t="s">
        <v>18</v>
      </c>
    </row>
    <row r="7" spans="1:6" ht="21.6" x14ac:dyDescent="0.75">
      <c r="A7" s="2">
        <v>6</v>
      </c>
      <c r="B7" s="1" t="s">
        <v>7</v>
      </c>
      <c r="C7" s="3" t="s">
        <v>24</v>
      </c>
      <c r="D7" s="1" t="s">
        <v>13</v>
      </c>
      <c r="E7" s="4">
        <v>360000</v>
      </c>
      <c r="F7" s="1" t="s">
        <v>18</v>
      </c>
    </row>
    <row r="8" spans="1:6" ht="21.6" x14ac:dyDescent="0.75">
      <c r="A8" s="2">
        <v>7</v>
      </c>
      <c r="B8" s="1" t="s">
        <v>8</v>
      </c>
      <c r="C8" s="3" t="s">
        <v>25</v>
      </c>
      <c r="D8" s="1" t="s">
        <v>13</v>
      </c>
      <c r="E8" s="4">
        <v>280000</v>
      </c>
      <c r="F8" s="1" t="s">
        <v>18</v>
      </c>
    </row>
    <row r="9" spans="1:6" ht="21.6" x14ac:dyDescent="0.75">
      <c r="A9" s="2">
        <v>8</v>
      </c>
      <c r="B9" s="1" t="s">
        <v>9</v>
      </c>
      <c r="C9" s="3" t="s">
        <v>26</v>
      </c>
      <c r="D9" s="1" t="s">
        <v>14</v>
      </c>
      <c r="E9" s="4">
        <v>385000</v>
      </c>
      <c r="F9" s="1" t="s">
        <v>18</v>
      </c>
    </row>
    <row r="10" spans="1:6" x14ac:dyDescent="0.25">
      <c r="E10">
        <f xml:space="preserve"> 'قیمت تمام شده'!D3+'قیمت تمام شده'!E3</f>
        <v>200000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4FEC-95D6-48A9-A38F-2241F4701C61}">
  <dimension ref="A1:G10"/>
  <sheetViews>
    <sheetView rightToLeft="1" zoomScale="179" workbookViewId="0">
      <selection activeCell="C3" sqref="C3"/>
    </sheetView>
  </sheetViews>
  <sheetFormatPr defaultRowHeight="13.8" x14ac:dyDescent="0.25"/>
  <cols>
    <col min="1" max="1" width="12.5" customWidth="1"/>
    <col min="2" max="2" width="8.59765625" customWidth="1"/>
    <col min="3" max="3" width="11.8984375" customWidth="1"/>
    <col min="4" max="4" width="12.5" customWidth="1"/>
    <col min="5" max="5" width="11.59765625" customWidth="1"/>
    <col min="6" max="6" width="12" customWidth="1"/>
    <col min="7" max="7" width="13.19921875" customWidth="1"/>
  </cols>
  <sheetData>
    <row r="1" spans="1:7" ht="13.5" customHeight="1" x14ac:dyDescent="0.25">
      <c r="A1" t="s">
        <v>27</v>
      </c>
    </row>
    <row r="2" spans="1:7" ht="18" customHeight="1" x14ac:dyDescent="0.5">
      <c r="A2" s="15" t="s">
        <v>28</v>
      </c>
      <c r="B2" s="16" t="s">
        <v>10</v>
      </c>
      <c r="C2" s="16" t="s">
        <v>29</v>
      </c>
      <c r="D2" s="16" t="s">
        <v>30</v>
      </c>
      <c r="E2" s="16" t="s">
        <v>31</v>
      </c>
      <c r="F2" s="16" t="s">
        <v>32</v>
      </c>
      <c r="G2" s="17" t="s">
        <v>33</v>
      </c>
    </row>
    <row r="3" spans="1:7" ht="16.8" x14ac:dyDescent="0.5">
      <c r="A3" s="5" t="s">
        <v>17</v>
      </c>
      <c r="B3" s="6">
        <v>1</v>
      </c>
      <c r="C3" s="7">
        <v>500000</v>
      </c>
      <c r="D3" s="8">
        <v>100000</v>
      </c>
      <c r="E3" s="8">
        <v>100000</v>
      </c>
      <c r="F3" s="7">
        <f>SUM(C3:E3)</f>
        <v>700000</v>
      </c>
      <c r="G3" s="9">
        <f t="shared" ref="G3:G10" si="0" xml:space="preserve"> F3+(F3*0.1)</f>
        <v>770000</v>
      </c>
    </row>
    <row r="4" spans="1:7" ht="16.8" x14ac:dyDescent="0.5">
      <c r="A4" s="5" t="s">
        <v>17</v>
      </c>
      <c r="B4" s="6">
        <v>2</v>
      </c>
      <c r="C4" s="7">
        <v>400000</v>
      </c>
      <c r="D4" s="8">
        <v>100000</v>
      </c>
      <c r="E4" s="8">
        <v>200000</v>
      </c>
      <c r="F4" s="7">
        <f>SUM(C4:E4)</f>
        <v>700000</v>
      </c>
      <c r="G4" s="9">
        <f t="shared" si="0"/>
        <v>770000</v>
      </c>
    </row>
    <row r="5" spans="1:7" ht="16.8" x14ac:dyDescent="0.5">
      <c r="A5" s="5" t="s">
        <v>17</v>
      </c>
      <c r="B5" s="6">
        <v>3</v>
      </c>
      <c r="C5" s="7">
        <v>450000</v>
      </c>
      <c r="D5" s="8">
        <v>100000</v>
      </c>
      <c r="E5" s="8">
        <v>300000</v>
      </c>
      <c r="F5" s="7">
        <f t="shared" ref="F5:F10" si="1">SUM(C5:E5)</f>
        <v>850000</v>
      </c>
      <c r="G5" s="9">
        <f t="shared" si="0"/>
        <v>935000</v>
      </c>
    </row>
    <row r="6" spans="1:7" ht="16.8" x14ac:dyDescent="0.5">
      <c r="A6" s="5" t="s">
        <v>18</v>
      </c>
      <c r="B6" s="6">
        <v>4</v>
      </c>
      <c r="C6" s="7">
        <v>600000</v>
      </c>
      <c r="D6" s="8">
        <v>100000</v>
      </c>
      <c r="E6" s="8">
        <v>400000</v>
      </c>
      <c r="F6" s="7">
        <f t="shared" si="1"/>
        <v>1100000</v>
      </c>
      <c r="G6" s="9">
        <f t="shared" si="0"/>
        <v>1210000</v>
      </c>
    </row>
    <row r="7" spans="1:7" ht="16.8" x14ac:dyDescent="0.5">
      <c r="A7" s="5" t="s">
        <v>18</v>
      </c>
      <c r="B7" s="6">
        <v>5</v>
      </c>
      <c r="C7" s="7">
        <v>600000</v>
      </c>
      <c r="D7" s="8">
        <v>100000</v>
      </c>
      <c r="E7" s="8">
        <v>500000</v>
      </c>
      <c r="F7" s="7">
        <f t="shared" si="1"/>
        <v>1200000</v>
      </c>
      <c r="G7" s="9">
        <f t="shared" si="0"/>
        <v>1320000</v>
      </c>
    </row>
    <row r="8" spans="1:7" ht="16.8" x14ac:dyDescent="0.5">
      <c r="A8" s="5" t="s">
        <v>18</v>
      </c>
      <c r="B8" s="6">
        <v>6</v>
      </c>
      <c r="C8" s="7">
        <v>700000</v>
      </c>
      <c r="D8" s="8">
        <v>100000</v>
      </c>
      <c r="E8" s="8">
        <v>600000</v>
      </c>
      <c r="F8" s="7">
        <f t="shared" si="1"/>
        <v>1400000</v>
      </c>
      <c r="G8" s="9">
        <f t="shared" si="0"/>
        <v>1540000</v>
      </c>
    </row>
    <row r="9" spans="1:7" ht="16.8" x14ac:dyDescent="0.5">
      <c r="A9" s="5" t="s">
        <v>18</v>
      </c>
      <c r="B9" s="6">
        <v>7</v>
      </c>
      <c r="C9" s="7">
        <v>700000</v>
      </c>
      <c r="D9" s="8">
        <v>100000</v>
      </c>
      <c r="E9" s="8">
        <v>700000</v>
      </c>
      <c r="F9" s="7">
        <f t="shared" si="1"/>
        <v>1500000</v>
      </c>
      <c r="G9" s="9">
        <f t="shared" si="0"/>
        <v>1650000</v>
      </c>
    </row>
    <row r="10" spans="1:7" ht="16.8" x14ac:dyDescent="0.5">
      <c r="A10" s="10" t="s">
        <v>18</v>
      </c>
      <c r="B10" s="11">
        <v>8</v>
      </c>
      <c r="C10" s="12">
        <v>550000</v>
      </c>
      <c r="D10" s="13">
        <v>100000</v>
      </c>
      <c r="E10" s="13">
        <v>800000</v>
      </c>
      <c r="F10" s="12">
        <f t="shared" si="1"/>
        <v>1450000</v>
      </c>
      <c r="G10" s="14">
        <f t="shared" si="0"/>
        <v>1595000</v>
      </c>
    </row>
  </sheetData>
  <phoneticPr fontId="2" type="noConversion"/>
  <pageMargins left="0.7" right="0.7" top="0.75" bottom="0.75" header="0.3" footer="0.3"/>
  <ignoredErrors>
    <ignoredError sqref="F3:F10" formulaRang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E442-16BD-4CF7-A205-78325B75FE88}">
  <dimension ref="A1:D7"/>
  <sheetViews>
    <sheetView rightToLeft="1" zoomScale="235" workbookViewId="0">
      <selection activeCell="D7" sqref="D7"/>
    </sheetView>
  </sheetViews>
  <sheetFormatPr defaultRowHeight="13.8" x14ac:dyDescent="0.25"/>
  <cols>
    <col min="1" max="1" width="11.5" customWidth="1"/>
    <col min="2" max="2" width="10.5" customWidth="1"/>
    <col min="3" max="3" width="16.5" customWidth="1"/>
    <col min="4" max="4" width="17.59765625" customWidth="1"/>
  </cols>
  <sheetData>
    <row r="1" spans="1:4" ht="18.600000000000001" x14ac:dyDescent="0.6">
      <c r="A1" s="22" t="s">
        <v>34</v>
      </c>
      <c r="B1" s="23">
        <v>0.1</v>
      </c>
    </row>
    <row r="2" spans="1:4" ht="27" customHeight="1" x14ac:dyDescent="0.25">
      <c r="A2" s="36" t="s">
        <v>35</v>
      </c>
      <c r="B2" s="37"/>
      <c r="C2" s="37"/>
      <c r="D2" s="38"/>
    </row>
    <row r="3" spans="1:4" ht="18.600000000000001" x14ac:dyDescent="0.6">
      <c r="A3" s="25" t="s">
        <v>43</v>
      </c>
      <c r="B3" s="25" t="s">
        <v>36</v>
      </c>
      <c r="C3" s="24" t="s">
        <v>37</v>
      </c>
      <c r="D3" s="24" t="s">
        <v>38</v>
      </c>
    </row>
    <row r="4" spans="1:4" ht="16.8" x14ac:dyDescent="0.25">
      <c r="A4" s="18" t="s">
        <v>39</v>
      </c>
      <c r="B4" s="19">
        <v>12</v>
      </c>
      <c r="C4" s="21">
        <v>100000</v>
      </c>
      <c r="D4" s="20">
        <f>(B4*C4)-(B4*C4)*$B$1</f>
        <v>1080000</v>
      </c>
    </row>
    <row r="5" spans="1:4" ht="16.8" x14ac:dyDescent="0.25">
      <c r="A5" s="18" t="s">
        <v>40</v>
      </c>
      <c r="B5" s="19">
        <v>23</v>
      </c>
      <c r="C5" s="21">
        <v>160000</v>
      </c>
      <c r="D5" s="20">
        <f t="shared" ref="D5:D6" si="0">(B5*C5)-(B5*C5)*$B$1</f>
        <v>3312000</v>
      </c>
    </row>
    <row r="6" spans="1:4" ht="16.8" x14ac:dyDescent="0.25">
      <c r="A6" s="18" t="s">
        <v>41</v>
      </c>
      <c r="B6" s="19">
        <v>46</v>
      </c>
      <c r="C6" s="21">
        <v>120000</v>
      </c>
      <c r="D6" s="20">
        <f t="shared" si="0"/>
        <v>4968000</v>
      </c>
    </row>
    <row r="7" spans="1:4" ht="16.8" x14ac:dyDescent="0.25">
      <c r="A7" s="18" t="s">
        <v>42</v>
      </c>
      <c r="B7" s="19">
        <v>16</v>
      </c>
      <c r="C7" s="21">
        <v>170000000</v>
      </c>
      <c r="D7" s="20">
        <f>(B7*C7)-(B7*C7)*$B$1</f>
        <v>2448000000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B0CC-B215-43E0-A8D2-FC4CBB31127E}">
  <dimension ref="A1:I17"/>
  <sheetViews>
    <sheetView rightToLeft="1" tabSelected="1" topLeftCell="A3" zoomScale="143" zoomScaleNormal="170" workbookViewId="0">
      <selection activeCell="B7" sqref="B7"/>
    </sheetView>
  </sheetViews>
  <sheetFormatPr defaultRowHeight="13.8" x14ac:dyDescent="0.25"/>
  <cols>
    <col min="1" max="1" width="9.3984375" customWidth="1"/>
    <col min="2" max="2" width="8.796875" customWidth="1"/>
    <col min="3" max="3" width="7.19921875" customWidth="1"/>
    <col min="4" max="4" width="2.69921875" customWidth="1"/>
    <col min="5" max="5" width="4.69921875" customWidth="1"/>
    <col min="6" max="6" width="14.8984375" customWidth="1"/>
    <col min="7" max="7" width="4.296875" customWidth="1"/>
    <col min="8" max="8" width="10" customWidth="1"/>
    <col min="9" max="9" width="14.8984375" customWidth="1"/>
  </cols>
  <sheetData>
    <row r="1" spans="1:9" ht="18.600000000000001" x14ac:dyDescent="0.25">
      <c r="A1" s="34" t="s">
        <v>56</v>
      </c>
      <c r="B1" s="34"/>
      <c r="C1" s="34"/>
      <c r="E1" s="34" t="s">
        <v>56</v>
      </c>
      <c r="F1" s="34"/>
      <c r="G1" s="34"/>
      <c r="H1" s="34"/>
      <c r="I1" s="34"/>
    </row>
    <row r="2" spans="1:9" ht="22.2" customHeight="1" x14ac:dyDescent="0.6">
      <c r="A2" s="31" t="s">
        <v>55</v>
      </c>
      <c r="B2" s="42"/>
      <c r="C2" s="42"/>
      <c r="E2" s="32" t="s">
        <v>0</v>
      </c>
      <c r="F2" s="32" t="s">
        <v>54</v>
      </c>
      <c r="G2" s="32" t="s">
        <v>53</v>
      </c>
      <c r="H2" s="32" t="s">
        <v>52</v>
      </c>
      <c r="I2" s="32" t="s">
        <v>51</v>
      </c>
    </row>
    <row r="3" spans="1:9" ht="22.2" x14ac:dyDescent="0.75">
      <c r="A3" s="31" t="s">
        <v>50</v>
      </c>
      <c r="B3" s="35"/>
      <c r="C3" s="35"/>
      <c r="E3" s="30">
        <v>1</v>
      </c>
      <c r="F3" s="29" t="s">
        <v>3</v>
      </c>
      <c r="G3" s="28">
        <v>2</v>
      </c>
      <c r="H3" s="39">
        <f>Sheet1!E3</f>
        <v>150000</v>
      </c>
      <c r="I3" s="39">
        <f>H3*G3</f>
        <v>300000</v>
      </c>
    </row>
    <row r="4" spans="1:9" ht="22.2" x14ac:dyDescent="0.75">
      <c r="A4" s="31" t="s">
        <v>49</v>
      </c>
      <c r="B4" s="35"/>
      <c r="C4" s="35"/>
      <c r="E4" s="30">
        <v>2</v>
      </c>
      <c r="F4" s="29" t="s">
        <v>48</v>
      </c>
      <c r="G4" s="28">
        <v>1</v>
      </c>
      <c r="H4" s="39">
        <v>200000</v>
      </c>
      <c r="I4" s="39">
        <f t="shared" ref="I4:I5" si="0">H4*G4</f>
        <v>200000</v>
      </c>
    </row>
    <row r="5" spans="1:9" ht="22.2" x14ac:dyDescent="0.75">
      <c r="E5" s="30">
        <v>3</v>
      </c>
      <c r="F5" s="29" t="s">
        <v>47</v>
      </c>
      <c r="G5" s="28">
        <v>1</v>
      </c>
      <c r="H5" s="39">
        <v>70000</v>
      </c>
      <c r="I5" s="39">
        <f t="shared" si="0"/>
        <v>70000</v>
      </c>
    </row>
    <row r="6" spans="1:9" ht="16.8" customHeight="1" x14ac:dyDescent="0.25">
      <c r="E6" s="27"/>
      <c r="F6" s="27"/>
      <c r="G6" s="27"/>
      <c r="H6" s="27"/>
      <c r="I6" s="27"/>
    </row>
    <row r="7" spans="1:9" ht="16.8" customHeight="1" x14ac:dyDescent="0.25">
      <c r="E7" s="27"/>
      <c r="F7" s="27"/>
      <c r="G7" s="27"/>
      <c r="H7" s="27"/>
      <c r="I7" s="27"/>
    </row>
    <row r="8" spans="1:9" ht="16.8" customHeight="1" x14ac:dyDescent="0.25">
      <c r="E8" s="27"/>
      <c r="F8" s="27"/>
      <c r="G8" s="27"/>
      <c r="H8" s="27"/>
      <c r="I8" s="27"/>
    </row>
    <row r="9" spans="1:9" ht="16.8" customHeight="1" x14ac:dyDescent="0.25">
      <c r="E9" s="27"/>
      <c r="F9" s="27"/>
      <c r="G9" s="27"/>
      <c r="H9" s="27"/>
      <c r="I9" s="27"/>
    </row>
    <row r="10" spans="1:9" ht="16.8" customHeight="1" x14ac:dyDescent="0.25">
      <c r="E10" s="27"/>
      <c r="F10" s="27"/>
      <c r="G10" s="27"/>
      <c r="H10" s="27"/>
      <c r="I10" s="27"/>
    </row>
    <row r="11" spans="1:9" ht="16.8" customHeight="1" x14ac:dyDescent="0.25">
      <c r="E11" s="27"/>
      <c r="F11" s="27"/>
      <c r="G11" s="27"/>
      <c r="H11" s="27"/>
      <c r="I11" s="27"/>
    </row>
    <row r="12" spans="1:9" ht="16.8" customHeight="1" x14ac:dyDescent="0.25">
      <c r="E12" s="27"/>
      <c r="F12" s="27"/>
      <c r="G12" s="27"/>
      <c r="H12" s="27"/>
      <c r="I12" s="27"/>
    </row>
    <row r="13" spans="1:9" ht="22.2" x14ac:dyDescent="0.25">
      <c r="E13" s="33" t="s">
        <v>46</v>
      </c>
      <c r="F13" s="33"/>
      <c r="G13" s="33"/>
      <c r="H13" s="33"/>
      <c r="I13" s="40">
        <f>SUM(I3:I5)</f>
        <v>570000</v>
      </c>
    </row>
    <row r="14" spans="1:9" ht="22.2" x14ac:dyDescent="0.25">
      <c r="E14" s="33" t="s">
        <v>45</v>
      </c>
      <c r="F14" s="33"/>
      <c r="G14" s="33"/>
      <c r="H14" s="33"/>
      <c r="I14" s="26">
        <f>IF(I13&gt;2000000,10%,5%)</f>
        <v>0.05</v>
      </c>
    </row>
    <row r="15" spans="1:9" ht="22.2" x14ac:dyDescent="0.25">
      <c r="E15" s="33" t="s">
        <v>44</v>
      </c>
      <c r="F15" s="33"/>
      <c r="G15" s="33"/>
      <c r="H15" s="33"/>
      <c r="I15" s="41">
        <f xml:space="preserve"> I13-(I13*I14)</f>
        <v>541500</v>
      </c>
    </row>
    <row r="17" spans="2:9" x14ac:dyDescent="0.25">
      <c r="B17" s="44"/>
      <c r="C17" s="43"/>
      <c r="D17" s="43"/>
      <c r="E17" s="43"/>
      <c r="F17" s="43"/>
      <c r="G17" s="43"/>
      <c r="H17" s="43"/>
      <c r="I17" s="43"/>
    </row>
  </sheetData>
  <mergeCells count="9">
    <mergeCell ref="B17:I17"/>
    <mergeCell ref="E14:H14"/>
    <mergeCell ref="E15:H15"/>
    <mergeCell ref="A1:C1"/>
    <mergeCell ref="B2:C2"/>
    <mergeCell ref="B3:C3"/>
    <mergeCell ref="B4:C4"/>
    <mergeCell ref="E1:I1"/>
    <mergeCell ref="E13:H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قیمت تمام شده</vt:lpstr>
      <vt:lpstr>حق الزحمه</vt:lpstr>
      <vt:lpstr>فاکتور فروش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2026-10-21T08:42:17Z</dcterms:created>
  <dcterms:modified xsi:type="dcterms:W3CDTF">2026-10-30T06:25:26Z</dcterms:modified>
</cp:coreProperties>
</file>